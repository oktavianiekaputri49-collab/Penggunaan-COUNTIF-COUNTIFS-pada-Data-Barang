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13_ncr:1_{776F8E66-0284-44F3-82FA-AF3EF11DA0A4}" xr6:coauthVersionLast="47" xr6:coauthVersionMax="47" xr10:uidLastSave="{00000000-0000-0000-0000-000000000000}"/>
  <bookViews>
    <workbookView xWindow="-110" yWindow="-110" windowWidth="19420" windowHeight="10300" xr2:uid="{ABD65429-7278-4587-BAC5-4D0D03C6C8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1" i="1" l="1"/>
  <c r="I11" i="1"/>
  <c r="J10" i="1"/>
  <c r="I10" i="1"/>
  <c r="I7" i="1"/>
  <c r="H7" i="1"/>
  <c r="I6" i="1"/>
  <c r="H6" i="1"/>
  <c r="I3" i="1"/>
  <c r="H3" i="1"/>
</calcChain>
</file>

<file path=xl/sharedStrings.xml><?xml version="1.0" encoding="utf-8"?>
<sst xmlns="http://schemas.openxmlformats.org/spreadsheetml/2006/main" count="68" uniqueCount="34">
  <si>
    <t xml:space="preserve">Kode Barang </t>
  </si>
  <si>
    <t>Jenis Barang</t>
  </si>
  <si>
    <t>Ukuran</t>
  </si>
  <si>
    <t>Harga</t>
  </si>
  <si>
    <t>Stok</t>
  </si>
  <si>
    <t>A11</t>
  </si>
  <si>
    <t>A24</t>
  </si>
  <si>
    <t>A86</t>
  </si>
  <si>
    <t>A42</t>
  </si>
  <si>
    <t>A34</t>
  </si>
  <si>
    <t>A68</t>
  </si>
  <si>
    <t>A23</t>
  </si>
  <si>
    <t>A92</t>
  </si>
  <si>
    <t>A57</t>
  </si>
  <si>
    <t>A79</t>
  </si>
  <si>
    <t>A45</t>
  </si>
  <si>
    <t>A99</t>
  </si>
  <si>
    <t>Shampoo</t>
  </si>
  <si>
    <t>Pasta Gigi</t>
  </si>
  <si>
    <t>Sabun</t>
  </si>
  <si>
    <t>Parfum</t>
  </si>
  <si>
    <t>Kecil</t>
  </si>
  <si>
    <t>Besar</t>
  </si>
  <si>
    <t>Sedang</t>
  </si>
  <si>
    <t>Normal</t>
  </si>
  <si>
    <t>Diskon</t>
  </si>
  <si>
    <t>Spesial</t>
  </si>
  <si>
    <t>Semua Stok</t>
  </si>
  <si>
    <t>COUNTIF</t>
  </si>
  <si>
    <t>COUNTIFS</t>
  </si>
  <si>
    <t>COUNT</t>
  </si>
  <si>
    <t>COUNTA</t>
  </si>
  <si>
    <t>Cara 1</t>
  </si>
  <si>
    <t>Cara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</si>
</sst>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1" fillId="2" borderId="1" xfId="0" applyFont="1" applyFill="1" applyBorder="1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DE467-50CA-4719-8565-B45964A64A7E}">
  <dimension ref="A1:J13"/>
  <sheetViews>
    <sheetView tabSelected="1" workbookViewId="0">
      <selection activeCell="A6" sqref="A6"/>
    </sheetView>
  </sheetViews>
  <sheetFormatPr defaultRowHeight="15.5" x14ac:dyDescent="0.35"/>
  <cols>
    <col min="1" max="1" width="13.90625" style="2" bestFit="1" customWidth="1"/>
    <col min="2" max="2" width="14.6328125" style="2" customWidth="1"/>
    <col min="3" max="3" width="12.6328125" style="2" customWidth="1"/>
    <col min="4" max="4" width="14" style="2" customWidth="1"/>
    <col min="5" max="5" width="8.7265625" style="2" customWidth="1"/>
    <col min="6" max="6" width="8.7265625" style="2"/>
    <col min="7" max="7" width="11.7265625" style="2" bestFit="1" customWidth="1"/>
    <col min="8" max="8" width="8.7265625" style="2"/>
    <col min="9" max="9" width="10.08984375" style="2" bestFit="1" customWidth="1"/>
    <col min="10" max="16384" width="8.7265625" style="2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0" x14ac:dyDescent="0.35">
      <c r="A2" s="3" t="s">
        <v>5</v>
      </c>
      <c r="B2" s="3" t="s">
        <v>17</v>
      </c>
      <c r="C2" s="3" t="s">
        <v>21</v>
      </c>
      <c r="D2" s="3" t="s">
        <v>24</v>
      </c>
      <c r="E2" s="7">
        <v>38</v>
      </c>
      <c r="H2" s="5" t="s">
        <v>30</v>
      </c>
      <c r="I2" s="5" t="s">
        <v>31</v>
      </c>
    </row>
    <row r="3" spans="1:10" x14ac:dyDescent="0.35">
      <c r="A3" s="3" t="s">
        <v>6</v>
      </c>
      <c r="B3" s="3" t="s">
        <v>17</v>
      </c>
      <c r="C3" s="3" t="s">
        <v>22</v>
      </c>
      <c r="D3" s="3" t="s">
        <v>25</v>
      </c>
      <c r="E3" s="7">
        <v>12</v>
      </c>
      <c r="G3" s="4" t="s">
        <v>27</v>
      </c>
      <c r="H3" s="6">
        <f>COUNT(E2:E13)</f>
        <v>12</v>
      </c>
      <c r="I3" s="6">
        <f>COUNTA(B2:B13)</f>
        <v>12</v>
      </c>
    </row>
    <row r="4" spans="1:10" x14ac:dyDescent="0.35">
      <c r="A4" s="3" t="s">
        <v>7</v>
      </c>
      <c r="B4" s="3" t="s">
        <v>17</v>
      </c>
      <c r="C4" s="3" t="s">
        <v>23</v>
      </c>
      <c r="D4" s="3" t="s">
        <v>24</v>
      </c>
      <c r="E4" s="7">
        <v>8</v>
      </c>
    </row>
    <row r="5" spans="1:10" x14ac:dyDescent="0.35">
      <c r="A5" s="3" t="s">
        <v>8</v>
      </c>
      <c r="B5" s="3" t="s">
        <v>18</v>
      </c>
      <c r="C5" s="3" t="s">
        <v>22</v>
      </c>
      <c r="D5" s="3" t="s">
        <v>25</v>
      </c>
      <c r="E5" s="7">
        <v>24</v>
      </c>
      <c r="G5" s="5" t="s">
        <v>28</v>
      </c>
      <c r="H5" s="6" t="s">
        <v>32</v>
      </c>
      <c r="I5" s="6" t="s">
        <v>33</v>
      </c>
    </row>
    <row r="6" spans="1:10" x14ac:dyDescent="0.35">
      <c r="A6" s="3" t="s">
        <v>9</v>
      </c>
      <c r="B6" s="3" t="s">
        <v>18</v>
      </c>
      <c r="C6" s="3" t="s">
        <v>21</v>
      </c>
      <c r="D6" s="3" t="s">
        <v>24</v>
      </c>
      <c r="E6" s="7">
        <v>56</v>
      </c>
      <c r="G6" s="4" t="s">
        <v>17</v>
      </c>
      <c r="H6" s="6">
        <f>COUNTIF(B2:B13,G6)</f>
        <v>3</v>
      </c>
      <c r="I6" s="6">
        <f>COUNTIF(B2:B13,"Shampoo")</f>
        <v>3</v>
      </c>
    </row>
    <row r="7" spans="1:10" x14ac:dyDescent="0.35">
      <c r="A7" s="3" t="s">
        <v>10</v>
      </c>
      <c r="B7" s="3" t="s">
        <v>18</v>
      </c>
      <c r="C7" s="3" t="s">
        <v>23</v>
      </c>
      <c r="D7" s="3" t="s">
        <v>25</v>
      </c>
      <c r="E7" s="7">
        <v>49</v>
      </c>
      <c r="G7" s="4" t="s">
        <v>25</v>
      </c>
      <c r="H7" s="6">
        <f>COUNTIF(D2:D13,G7)</f>
        <v>6</v>
      </c>
      <c r="I7" s="6">
        <f>COUNTIF(D2:D13,"Diskon")</f>
        <v>6</v>
      </c>
    </row>
    <row r="8" spans="1:10" x14ac:dyDescent="0.35">
      <c r="A8" s="3" t="s">
        <v>11</v>
      </c>
      <c r="B8" s="3" t="s">
        <v>18</v>
      </c>
      <c r="C8" s="3" t="s">
        <v>26</v>
      </c>
      <c r="D8" s="3" t="s">
        <v>24</v>
      </c>
      <c r="E8" s="7">
        <v>5</v>
      </c>
    </row>
    <row r="9" spans="1:10" x14ac:dyDescent="0.35">
      <c r="A9" s="3" t="s">
        <v>12</v>
      </c>
      <c r="B9" s="3" t="s">
        <v>19</v>
      </c>
      <c r="C9" s="3" t="s">
        <v>22</v>
      </c>
      <c r="D9" s="3" t="s">
        <v>25</v>
      </c>
      <c r="E9" s="7">
        <v>18</v>
      </c>
      <c r="G9" s="5" t="s">
        <v>29</v>
      </c>
      <c r="I9" s="6" t="s">
        <v>32</v>
      </c>
      <c r="J9" s="6" t="s">
        <v>33</v>
      </c>
    </row>
    <row r="10" spans="1:10" x14ac:dyDescent="0.35">
      <c r="A10" s="3" t="s">
        <v>13</v>
      </c>
      <c r="B10" s="3" t="s">
        <v>19</v>
      </c>
      <c r="C10" s="3" t="s">
        <v>23</v>
      </c>
      <c r="D10" s="3" t="s">
        <v>24</v>
      </c>
      <c r="E10" s="7">
        <v>27</v>
      </c>
      <c r="G10" s="4" t="s">
        <v>17</v>
      </c>
      <c r="H10" s="4" t="s">
        <v>22</v>
      </c>
      <c r="I10" s="6">
        <f>COUNTIFS(B2:B13,G10,C2:C13,H10)</f>
        <v>1</v>
      </c>
      <c r="J10" s="6">
        <f>COUNTIFS(B2:B13,"Shampoo",C2:C13,"Besar")</f>
        <v>1</v>
      </c>
    </row>
    <row r="11" spans="1:10" x14ac:dyDescent="0.35">
      <c r="A11" s="3" t="s">
        <v>14</v>
      </c>
      <c r="B11" s="3" t="s">
        <v>20</v>
      </c>
      <c r="C11" s="3" t="s">
        <v>21</v>
      </c>
      <c r="D11" s="3" t="s">
        <v>25</v>
      </c>
      <c r="E11" s="7">
        <v>42</v>
      </c>
      <c r="G11" s="4" t="s">
        <v>22</v>
      </c>
      <c r="H11" s="4" t="s">
        <v>25</v>
      </c>
      <c r="I11" s="6">
        <f>COUNTIFS(C2:C13,G11,D2:D13,H11)</f>
        <v>4</v>
      </c>
      <c r="J11" s="6">
        <f>COUNTIFS(C2:C13,"Besar",D2:D13,"Diskon")</f>
        <v>4</v>
      </c>
    </row>
    <row r="12" spans="1:10" x14ac:dyDescent="0.35">
      <c r="A12" s="3" t="s">
        <v>15</v>
      </c>
      <c r="B12" s="3" t="s">
        <v>20</v>
      </c>
      <c r="C12" s="3" t="s">
        <v>23</v>
      </c>
      <c r="D12" s="3" t="s">
        <v>24</v>
      </c>
      <c r="E12" s="7">
        <v>31</v>
      </c>
      <c r="G12" s="5"/>
      <c r="H12" s="5"/>
    </row>
    <row r="13" spans="1:10" x14ac:dyDescent="0.35">
      <c r="A13" s="3" t="s">
        <v>16</v>
      </c>
      <c r="B13" s="3" t="s">
        <v>20</v>
      </c>
      <c r="C13" s="3" t="s">
        <v>22</v>
      </c>
      <c r="D13" s="3" t="s">
        <v>25</v>
      </c>
      <c r="E13" s="7">
        <v>2</v>
      </c>
      <c r="G13" s="5"/>
      <c r="H1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Eka Putri</dc:creator>
  <cp:lastModifiedBy>Oktaviani Eka Putri</cp:lastModifiedBy>
  <dcterms:created xsi:type="dcterms:W3CDTF">2025-08-29T08:29:36Z</dcterms:created>
  <dcterms:modified xsi:type="dcterms:W3CDTF">2025-08-29T09:47:57Z</dcterms:modified>
</cp:coreProperties>
</file>